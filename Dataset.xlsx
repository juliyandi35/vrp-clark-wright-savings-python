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VRP Clark Wright Savings\"/>
    </mc:Choice>
  </mc:AlternateContent>
  <xr:revisionPtr revIDLastSave="0" documentId="13_ncr:1_{DDAF31AC-0337-4432-A4A9-0FC645C20F47}" xr6:coauthVersionLast="47" xr6:coauthVersionMax="47" xr10:uidLastSave="{00000000-0000-0000-0000-000000000000}"/>
  <bookViews>
    <workbookView xWindow="-110" yWindow="-110" windowWidth="19420" windowHeight="10300" xr2:uid="{1CE4E4C5-E43C-4A20-B5A2-85E96FF9FDE9}"/>
  </bookViews>
  <sheets>
    <sheet name="Demand" sheetId="1" r:id="rId1"/>
    <sheet name="Matriks Berpasang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D3" i="1"/>
  <c r="D2" i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<sst xmlns="http://schemas.openxmlformats.org/spreadsheetml/2006/main" count="6" uniqueCount="6">
  <si>
    <t>Latitude</t>
  </si>
  <si>
    <t>Longitude</t>
  </si>
  <si>
    <t>Jarak dari Pusat</t>
  </si>
  <si>
    <t>node</t>
  </si>
  <si>
    <t>demand</t>
  </si>
  <si>
    <t>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</si>
</sst>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B2D0-780D-4581-B4CC-63B0BAD6CAC9}">
  <dimension ref="A1:F22"/>
  <sheetViews>
    <sheetView tabSelected="1" workbookViewId="0">
      <selection activeCell="H4" sqref="H4"/>
    </sheetView>
  </sheetViews>
  <sheetFormatPr defaultRowHeight="14.5" x14ac:dyDescent="0.35"/>
  <sheetData>
    <row r="1" spans="1:6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>
        <v>0</v>
      </c>
      <c r="B2">
        <v>-0.48578100000000002</v>
      </c>
      <c r="C2">
        <v>117.1479291</v>
      </c>
      <c r="D2">
        <f>SQRT((C2-$C$2)^2+(B2-$B$2)^2)*111</f>
        <v>0</v>
      </c>
      <c r="E2">
        <v>0</v>
      </c>
      <c r="F2">
        <v>0</v>
      </c>
    </row>
    <row r="3" spans="1:6" x14ac:dyDescent="0.35">
      <c r="A3">
        <v>1</v>
      </c>
      <c r="B3">
        <v>-0.50054399999999999</v>
      </c>
      <c r="C3">
        <v>117.1308873</v>
      </c>
      <c r="D3">
        <f>SQRT((C3-$C$2)^2+(B3-$B$2)^2)*111</f>
        <v>2.5027216947142845</v>
      </c>
      <c r="E3">
        <v>2</v>
      </c>
      <c r="F3">
        <f>SQRT((C3-117.15)^2+(B3-(-0.55))^2)*111</f>
        <v>5.8852941502234124</v>
      </c>
    </row>
    <row r="4" spans="1:6" x14ac:dyDescent="0.35">
      <c r="A4">
        <v>2</v>
      </c>
      <c r="B4">
        <v>-0.49545299999999998</v>
      </c>
      <c r="C4">
        <v>117.09705959999999</v>
      </c>
      <c r="D4">
        <f t="shared" ref="D4:D22" si="0">SQRT((C4-$C$2)^2+(B4-$B$2)^2)*111</f>
        <v>5.747671335521888</v>
      </c>
      <c r="E4">
        <v>2</v>
      </c>
      <c r="F4">
        <f t="shared" ref="F4:F22" si="1">SQRT((C4-117.15)^2+(B4-(-0.55))^2)*111</f>
        <v>8.4375050558009885</v>
      </c>
    </row>
    <row r="5" spans="1:6" x14ac:dyDescent="0.35">
      <c r="A5">
        <v>3</v>
      </c>
      <c r="B5">
        <v>-0.50672700000000004</v>
      </c>
      <c r="C5">
        <v>117.16029810000001</v>
      </c>
      <c r="D5">
        <f t="shared" si="0"/>
        <v>2.7001239445105227</v>
      </c>
      <c r="E5">
        <v>7</v>
      </c>
      <c r="F5">
        <f t="shared" si="1"/>
        <v>4.937445938979768</v>
      </c>
    </row>
    <row r="6" spans="1:6" x14ac:dyDescent="0.35">
      <c r="A6">
        <v>4</v>
      </c>
      <c r="B6">
        <v>-0.51725200000000005</v>
      </c>
      <c r="C6">
        <v>117.16029810000001</v>
      </c>
      <c r="D6">
        <f t="shared" si="0"/>
        <v>3.7534022646985323</v>
      </c>
      <c r="E6">
        <v>7</v>
      </c>
      <c r="F6">
        <f t="shared" si="1"/>
        <v>3.8105224381077729</v>
      </c>
    </row>
    <row r="7" spans="1:6" x14ac:dyDescent="0.35">
      <c r="A7">
        <v>5</v>
      </c>
      <c r="B7">
        <v>-0.48021399999999997</v>
      </c>
      <c r="C7">
        <v>117.14588670000001</v>
      </c>
      <c r="D7">
        <f t="shared" si="0"/>
        <v>0.65821115743326353</v>
      </c>
      <c r="E7">
        <v>8</v>
      </c>
      <c r="F7">
        <f t="shared" si="1"/>
        <v>7.7596900073545356</v>
      </c>
    </row>
    <row r="8" spans="1:6" x14ac:dyDescent="0.35">
      <c r="A8">
        <v>6</v>
      </c>
      <c r="B8">
        <v>-0.40863699999999997</v>
      </c>
      <c r="C8">
        <v>117.21585399999999</v>
      </c>
      <c r="D8">
        <f t="shared" si="0"/>
        <v>11.409260568030232</v>
      </c>
      <c r="E8">
        <v>4</v>
      </c>
      <c r="F8">
        <f t="shared" si="1"/>
        <v>17.31039469030862</v>
      </c>
    </row>
    <row r="9" spans="1:6" x14ac:dyDescent="0.35">
      <c r="A9">
        <v>7</v>
      </c>
      <c r="B9">
        <v>-0.52705400000000002</v>
      </c>
      <c r="C9">
        <v>117.091176</v>
      </c>
      <c r="D9">
        <f t="shared" si="0"/>
        <v>7.7893018302384585</v>
      </c>
      <c r="E9">
        <v>3</v>
      </c>
      <c r="F9">
        <f t="shared" si="1"/>
        <v>7.0086474937275831</v>
      </c>
    </row>
    <row r="10" spans="1:6" x14ac:dyDescent="0.35">
      <c r="A10">
        <v>8</v>
      </c>
      <c r="B10">
        <v>-0.52063700000000002</v>
      </c>
      <c r="C10">
        <v>117.111768</v>
      </c>
      <c r="D10">
        <f t="shared" si="0"/>
        <v>5.5749918673445027</v>
      </c>
      <c r="E10">
        <v>10</v>
      </c>
      <c r="F10">
        <f t="shared" si="1"/>
        <v>5.3509271997813972</v>
      </c>
    </row>
    <row r="11" spans="1:6" x14ac:dyDescent="0.35">
      <c r="A11">
        <v>9</v>
      </c>
      <c r="B11">
        <v>-0.53927400000000003</v>
      </c>
      <c r="C11">
        <v>117.1794129</v>
      </c>
      <c r="D11">
        <f t="shared" si="0"/>
        <v>6.8898109622583368</v>
      </c>
      <c r="E11">
        <v>8</v>
      </c>
      <c r="F11">
        <f t="shared" si="1"/>
        <v>3.4751435018789389</v>
      </c>
    </row>
    <row r="12" spans="1:6" x14ac:dyDescent="0.35">
      <c r="A12">
        <v>10</v>
      </c>
      <c r="B12">
        <v>-0.53056999999999999</v>
      </c>
      <c r="C12">
        <v>117.21821629999999</v>
      </c>
      <c r="D12">
        <f t="shared" si="0"/>
        <v>9.2512656866304557</v>
      </c>
      <c r="E12">
        <v>4</v>
      </c>
      <c r="F12">
        <f t="shared" si="1"/>
        <v>7.8731702085099036</v>
      </c>
    </row>
    <row r="13" spans="1:6" x14ac:dyDescent="0.35">
      <c r="A13">
        <v>11</v>
      </c>
      <c r="B13">
        <v>-0.48039399999999999</v>
      </c>
      <c r="C13">
        <v>117.1676501</v>
      </c>
      <c r="D13">
        <f t="shared" si="0"/>
        <v>2.2692309915061522</v>
      </c>
      <c r="E13">
        <v>6</v>
      </c>
      <c r="F13">
        <f t="shared" si="1"/>
        <v>7.9707903321131308</v>
      </c>
    </row>
    <row r="14" spans="1:6" x14ac:dyDescent="0.35">
      <c r="A14">
        <v>12</v>
      </c>
      <c r="B14">
        <v>-0.49360599999999999</v>
      </c>
      <c r="C14">
        <v>117.158163</v>
      </c>
      <c r="D14">
        <f t="shared" si="0"/>
        <v>1.4299770070886235</v>
      </c>
      <c r="E14">
        <v>10</v>
      </c>
      <c r="F14">
        <f t="shared" si="1"/>
        <v>6.3249722746747512</v>
      </c>
    </row>
    <row r="15" spans="1:6" x14ac:dyDescent="0.35">
      <c r="A15">
        <v>13</v>
      </c>
      <c r="B15">
        <v>-0.50516499999999998</v>
      </c>
      <c r="C15">
        <v>117.156622</v>
      </c>
      <c r="D15">
        <f t="shared" si="0"/>
        <v>2.3580798994388514</v>
      </c>
      <c r="E15">
        <v>9</v>
      </c>
      <c r="F15">
        <f t="shared" si="1"/>
        <v>5.0306739440146524</v>
      </c>
    </row>
    <row r="16" spans="1:6" x14ac:dyDescent="0.35">
      <c r="A16">
        <v>14</v>
      </c>
      <c r="B16">
        <v>-0.49785099999999999</v>
      </c>
      <c r="C16">
        <v>117.14485790000001</v>
      </c>
      <c r="D16">
        <f t="shared" si="0"/>
        <v>1.3824610825154378</v>
      </c>
      <c r="E16">
        <v>8</v>
      </c>
      <c r="F16">
        <f t="shared" si="1"/>
        <v>5.8166111857510936</v>
      </c>
    </row>
    <row r="17" spans="1:6" x14ac:dyDescent="0.35">
      <c r="A17">
        <v>15</v>
      </c>
      <c r="B17">
        <v>-0.53737999999999997</v>
      </c>
      <c r="C17">
        <v>117.13529920000001</v>
      </c>
      <c r="D17">
        <f t="shared" si="0"/>
        <v>5.8965673783393697</v>
      </c>
      <c r="E17">
        <v>4</v>
      </c>
      <c r="F17">
        <f t="shared" si="1"/>
        <v>2.1505886078479652</v>
      </c>
    </row>
    <row r="18" spans="1:6" x14ac:dyDescent="0.35">
      <c r="A18">
        <v>16</v>
      </c>
      <c r="B18">
        <v>-0.58392100000000002</v>
      </c>
      <c r="C18">
        <v>117.1058848</v>
      </c>
      <c r="D18">
        <f t="shared" si="0"/>
        <v>11.851132047894831</v>
      </c>
      <c r="E18">
        <v>4</v>
      </c>
      <c r="F18">
        <f t="shared" si="1"/>
        <v>6.1770129808389438</v>
      </c>
    </row>
    <row r="19" spans="1:6" x14ac:dyDescent="0.35">
      <c r="A19">
        <v>17</v>
      </c>
      <c r="B19">
        <v>-0.57299299999999997</v>
      </c>
      <c r="C19">
        <v>117.1794129</v>
      </c>
      <c r="D19">
        <f t="shared" si="0"/>
        <v>10.292018289623762</v>
      </c>
      <c r="E19">
        <v>9</v>
      </c>
      <c r="F19">
        <f t="shared" si="1"/>
        <v>4.1440281824553713</v>
      </c>
    </row>
    <row r="20" spans="1:6" x14ac:dyDescent="0.35">
      <c r="A20">
        <v>18</v>
      </c>
      <c r="B20">
        <v>-0.62795299999999998</v>
      </c>
      <c r="C20">
        <v>117.16176849999999</v>
      </c>
      <c r="D20">
        <f t="shared" si="0"/>
        <v>15.855683316316888</v>
      </c>
      <c r="E20">
        <v>9</v>
      </c>
      <c r="F20">
        <f t="shared" si="1"/>
        <v>8.7508332448514672</v>
      </c>
    </row>
    <row r="21" spans="1:6" x14ac:dyDescent="0.35">
      <c r="A21">
        <v>19</v>
      </c>
      <c r="B21">
        <v>-0.52058199999999999</v>
      </c>
      <c r="C21">
        <v>117.1235339</v>
      </c>
      <c r="D21">
        <f t="shared" si="0"/>
        <v>4.7174809132371962</v>
      </c>
      <c r="E21">
        <v>9</v>
      </c>
      <c r="F21">
        <f t="shared" si="1"/>
        <v>4.3923938082923906</v>
      </c>
    </row>
    <row r="22" spans="1:6" x14ac:dyDescent="0.35">
      <c r="A22">
        <v>20</v>
      </c>
      <c r="B22">
        <v>-0.51248400000000005</v>
      </c>
      <c r="C22">
        <v>117.14931799999999</v>
      </c>
      <c r="D22">
        <f t="shared" si="0"/>
        <v>2.9680396504223552</v>
      </c>
      <c r="E22">
        <v>10</v>
      </c>
      <c r="F22">
        <f t="shared" si="1"/>
        <v>4.164964033095627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E9A0-5DC2-438F-A093-4F0DBC324C5C}">
  <dimension ref="A1:U21"/>
  <sheetViews>
    <sheetView workbookViewId="0">
      <selection activeCell="F13" sqref="F13"/>
    </sheetView>
  </sheetViews>
  <sheetFormatPr defaultRowHeight="14.5" x14ac:dyDescent="0.35"/>
  <sheetData>
    <row r="1" spans="1:21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>
        <v>1</v>
      </c>
      <c r="B2">
        <f>SQRT((Demand!C3-Demand!$C$3)^2+(Demand!B3-Demand!$B$3)^2)*111</f>
        <v>0</v>
      </c>
      <c r="C2">
        <f>SQRT((Demand!C3-Demand!$C$4)^2+(Demand!B3-Demand!$B$4)^2)*111</f>
        <v>3.7971598798185844</v>
      </c>
      <c r="D2">
        <f>SQRT((Demand!C3-Demand!$C$5)^2+(Demand!B3-Demand!$B$5)^2)*111</f>
        <v>3.3359602603952303</v>
      </c>
      <c r="E2">
        <f>SQRT((Demand!C3-Demand!$C$6)^2+(Demand!B3-Demand!$B$6)^2)*111</f>
        <v>3.7546107620779043</v>
      </c>
      <c r="F2">
        <f>SQRT((Demand!C3-Demand!$C$7)^2+(Demand!B3-Demand!$B$7)^2)*111</f>
        <v>2.8043505813892882</v>
      </c>
      <c r="G2">
        <f>SQRT((Demand!C3-Demand!$C$8)^2+(Demand!B3-Demand!$B$8)^2)*111</f>
        <v>13.893297056276928</v>
      </c>
      <c r="H2">
        <f>SQRT((Demand!C3-Demand!$C$9)^2+(Demand!B3-Demand!$B$9)^2)*111</f>
        <v>5.2999070485228321</v>
      </c>
      <c r="I2">
        <f>SQRT((Demand!C3-Demand!$C$10)^2+(Demand!B3-Demand!$B$10)^2)*111</f>
        <v>3.0786771614182324</v>
      </c>
      <c r="J2">
        <f>SQRT((Demand!C3-Demand!$C$11)^2+(Demand!B3-Demand!$B$11)^2)*111</f>
        <v>6.8916133650108753</v>
      </c>
      <c r="K2">
        <f>SQRT((Demand!C3-Demand!$C$12)^2+(Demand!B3-Demand!$B$12)^2)*111</f>
        <v>10.250484851574109</v>
      </c>
      <c r="L2">
        <f>SQRT((Demand!C3-Demand!$C$13)^2+(Demand!B3-Demand!$B$13)^2)*111</f>
        <v>4.6534371598290063</v>
      </c>
      <c r="M2">
        <f>SQRT((Demand!C3-Demand!$C$14)^2+(Demand!B3-Demand!$B$14)^2)*111</f>
        <v>3.1240134191411633</v>
      </c>
      <c r="N2">
        <f>SQRT((Demand!C3-Demand!$C$15)^2+(Demand!B3-Demand!$B$15)^2)*111</f>
        <v>2.9022380718222482</v>
      </c>
      <c r="O2">
        <f>SQRT((Demand!C3-Demand!$C$16)^2+(Demand!B3-Demand!$B$16)^2)*111</f>
        <v>1.5792843197192643</v>
      </c>
      <c r="P2">
        <f>SQRT((Demand!C3-Demand!$C$17)^2+(Demand!B3-Demand!$B$17)^2)*111</f>
        <v>4.1180188549244967</v>
      </c>
      <c r="Q2">
        <f>SQRT((Demand!C3-Demand!$C$18)^2+(Demand!B3-Demand!$B$18)^2)*111</f>
        <v>9.6620059095104533</v>
      </c>
      <c r="R2">
        <f>SQRT((Demand!C3-Demand!$C$19)^2+(Demand!B3-Demand!$B$19)^2)*111</f>
        <v>9.6790418086615091</v>
      </c>
      <c r="S2">
        <f>SQRT((Demand!C3-Demand!$C$20)^2+(Demand!B3-Demand!$B$20)^2)*111</f>
        <v>14.551884854179278</v>
      </c>
      <c r="T2">
        <f>SQRT((Demand!C3-Demand!$C$21)^2+(Demand!B3-Demand!$B$21)^2)*111</f>
        <v>2.3692557650103274</v>
      </c>
      <c r="U2">
        <f>SQRT((Demand!C3-Demand!$C$22)^2+(Demand!B3-Demand!$B$22)^2)*111</f>
        <v>2.4375921030758105</v>
      </c>
    </row>
    <row r="3" spans="1:21" x14ac:dyDescent="0.35">
      <c r="A3">
        <v>2</v>
      </c>
      <c r="B3">
        <f>SQRT((Demand!C4-Demand!$C$3)^2+(Demand!B4-Demand!$B$3)^2)*111</f>
        <v>3.7971598798185844</v>
      </c>
      <c r="C3">
        <f>SQRT((Demand!C4-Demand!$C$4)^2+(Demand!B4-Demand!$B$4)^2)*111</f>
        <v>0</v>
      </c>
      <c r="D3">
        <f>SQRT((Demand!C4-Demand!$C$5)^2+(Demand!B4-Demand!$B$5)^2)*111</f>
        <v>7.130150434360826</v>
      </c>
      <c r="E3">
        <f>SQRT((Demand!C4-Demand!$C$6)^2+(Demand!B4-Demand!$B$6)^2)*111</f>
        <v>7.4248167030534082</v>
      </c>
      <c r="F3">
        <f>SQRT((Demand!C4-Demand!$C$7)^2+(Demand!B4-Demand!$B$7)^2)*111</f>
        <v>5.6776394917852953</v>
      </c>
      <c r="G3">
        <f>SQRT((Demand!C4-Demand!$C$8)^2+(Demand!B4-Demand!$B$8)^2)*111</f>
        <v>16.332143086576206</v>
      </c>
      <c r="H3">
        <f>SQRT((Demand!C4-Demand!$C$9)^2+(Demand!B4-Demand!$B$9)^2)*111</f>
        <v>3.5679895492357798</v>
      </c>
      <c r="I3">
        <f>SQRT((Demand!C4-Demand!$C$10)^2+(Demand!B4-Demand!$B$10)^2)*111</f>
        <v>3.2372648784594467</v>
      </c>
      <c r="J3">
        <f>SQRT((Demand!C4-Demand!$C$11)^2+(Demand!B4-Demand!$B$11)^2)*111</f>
        <v>10.354786614342354</v>
      </c>
      <c r="K3">
        <f>SQRT((Demand!C4-Demand!$C$12)^2+(Demand!B4-Demand!$B$12)^2)*111</f>
        <v>14.001914003534282</v>
      </c>
      <c r="L3">
        <f>SQRT((Demand!C4-Demand!$C$13)^2+(Demand!B4-Demand!$B$13)^2)*111</f>
        <v>8.0118567973963639</v>
      </c>
      <c r="M3">
        <f>SQRT((Demand!C4-Demand!$C$14)^2+(Demand!B4-Demand!$B$14)^2)*111</f>
        <v>6.785575263145418</v>
      </c>
      <c r="N3">
        <f>SQRT((Demand!C4-Demand!$C$15)^2+(Demand!B4-Demand!$B$15)^2)*111</f>
        <v>6.6987395855972292</v>
      </c>
      <c r="O3">
        <f>SQRT((Demand!C4-Demand!$C$16)^2+(Demand!B4-Demand!$B$16)^2)*111</f>
        <v>5.3122840656712302</v>
      </c>
      <c r="P3">
        <f>SQRT((Demand!C4-Demand!$C$17)^2+(Demand!B4-Demand!$B$17)^2)*111</f>
        <v>6.2988371223710065</v>
      </c>
      <c r="Q3">
        <f>SQRT((Demand!C4-Demand!$C$18)^2+(Demand!B4-Demand!$B$18)^2)*111</f>
        <v>9.8686873188359154</v>
      </c>
      <c r="R3">
        <f>SQRT((Demand!C4-Demand!$C$19)^2+(Demand!B4-Demand!$B$19)^2)*111</f>
        <v>12.555526735545685</v>
      </c>
      <c r="S3">
        <f>SQRT((Demand!C4-Demand!$C$20)^2+(Demand!B4-Demand!$B$20)^2)*111</f>
        <v>16.367698730084371</v>
      </c>
      <c r="T3">
        <f>SQRT((Demand!C4-Demand!$C$21)^2+(Demand!B4-Demand!$B$21)^2)*111</f>
        <v>4.0516599607519881</v>
      </c>
      <c r="U3">
        <f>SQRT((Demand!C4-Demand!$C$22)^2+(Demand!B4-Demand!$B$22)^2)*111</f>
        <v>6.1009575871456541</v>
      </c>
    </row>
    <row r="4" spans="1:21" x14ac:dyDescent="0.35">
      <c r="A4">
        <v>3</v>
      </c>
      <c r="B4">
        <f>SQRT((Demand!C5-Demand!$C$3)^2+(Demand!B5-Demand!$B$3)^2)*111</f>
        <v>3.3359602603952303</v>
      </c>
      <c r="C4">
        <f>SQRT((Demand!C5-Demand!$C$4)^2+(Demand!B5-Demand!$B$4)^2)*111</f>
        <v>7.130150434360826</v>
      </c>
      <c r="D4">
        <f>SQRT((Demand!C5-Demand!$C$5)^2+(Demand!B5-Demand!$B$5)^2)*111</f>
        <v>0</v>
      </c>
      <c r="E4">
        <f>SQRT((Demand!C5-Demand!$C$6)^2+(Demand!B5-Demand!$B$6)^2)*111</f>
        <v>1.1682750000000008</v>
      </c>
      <c r="F4">
        <f>SQRT((Demand!C5-Demand!$C$7)^2+(Demand!B5-Demand!$B$7)^2)*111</f>
        <v>3.3496033934193266</v>
      </c>
      <c r="G4">
        <f>SQRT((Demand!C5-Demand!$C$8)^2+(Demand!B5-Demand!$B$8)^2)*111</f>
        <v>12.513056203972193</v>
      </c>
      <c r="H4">
        <f>SQRT((Demand!C5-Demand!$C$9)^2+(Demand!B5-Demand!$B$9)^2)*111</f>
        <v>7.9974337899435479</v>
      </c>
      <c r="I4">
        <f>SQRT((Demand!C5-Demand!$C$10)^2+(Demand!B5-Demand!$B$10)^2)*111</f>
        <v>5.6037508792556547</v>
      </c>
      <c r="J4">
        <f>SQRT((Demand!C5-Demand!$C$11)^2+(Demand!B5-Demand!$B$11)^2)*111</f>
        <v>4.1896917107872529</v>
      </c>
      <c r="K4">
        <f>SQRT((Demand!C5-Demand!$C$12)^2+(Demand!B5-Demand!$B$12)^2)*111</f>
        <v>6.952363884484269</v>
      </c>
      <c r="L4">
        <f>SQRT((Demand!C5-Demand!$C$13)^2+(Demand!B5-Demand!$B$13)^2)*111</f>
        <v>3.034746481759647</v>
      </c>
      <c r="M4">
        <f>SQRT((Demand!C5-Demand!$C$14)^2+(Demand!B5-Demand!$B$14)^2)*111</f>
        <v>1.4755874793371038</v>
      </c>
      <c r="N4">
        <f>SQRT((Demand!C5-Demand!$C$15)^2+(Demand!B5-Demand!$B$15)^2)*111</f>
        <v>0.44335511020291896</v>
      </c>
      <c r="O4">
        <f>SQRT((Demand!C5-Demand!$C$16)^2+(Demand!B5-Demand!$B$16)^2)*111</f>
        <v>1.9768696508078185</v>
      </c>
      <c r="P4">
        <f>SQRT((Demand!C5-Demand!$C$17)^2+(Demand!B5-Demand!$B$17)^2)*111</f>
        <v>4.3905395938537346</v>
      </c>
      <c r="Q4">
        <f>SQRT((Demand!C5-Demand!$C$18)^2+(Demand!B5-Demand!$B$18)^2)*111</f>
        <v>10.483314391377734</v>
      </c>
      <c r="R4">
        <f>SQRT((Demand!C5-Demand!$C$19)^2+(Demand!B5-Demand!$B$19)^2)*111</f>
        <v>7.6554265228023919</v>
      </c>
      <c r="S4">
        <f>SQRT((Demand!C5-Demand!$C$20)^2+(Demand!B5-Demand!$B$20)^2)*111</f>
        <v>13.457075810879671</v>
      </c>
      <c r="T4">
        <f>SQRT((Demand!C5-Demand!$C$21)^2+(Demand!B5-Demand!$B$21)^2)*111</f>
        <v>4.3609969346054562</v>
      </c>
      <c r="U4">
        <f>SQRT((Demand!C5-Demand!$C$22)^2+(Demand!B5-Demand!$B$22)^2)*111</f>
        <v>1.37615669608203</v>
      </c>
    </row>
    <row r="5" spans="1:21" x14ac:dyDescent="0.35">
      <c r="A5">
        <v>4</v>
      </c>
      <c r="B5">
        <f>SQRT((Demand!C6-Demand!$C$3)^2+(Demand!B6-Demand!$B$3)^2)*111</f>
        <v>3.7546107620779043</v>
      </c>
      <c r="C5">
        <f>SQRT((Demand!C6-Demand!$C$4)^2+(Demand!B6-Demand!$B$4)^2)*111</f>
        <v>7.4248167030534082</v>
      </c>
      <c r="D5">
        <f>SQRT((Demand!C6-Demand!$C$5)^2+(Demand!B6-Demand!$B$5)^2)*111</f>
        <v>1.1682750000000008</v>
      </c>
      <c r="E5">
        <f>SQRT((Demand!C6-Demand!$C$6)^2+(Demand!B6-Demand!$B$6)^2)*111</f>
        <v>0</v>
      </c>
      <c r="F5">
        <f>SQRT((Demand!C6-Demand!$C$7)^2+(Demand!B6-Demand!$B$7)^2)*111</f>
        <v>4.4114671975977897</v>
      </c>
      <c r="G5">
        <f>SQRT((Demand!C6-Demand!$C$8)^2+(Demand!B6-Demand!$B$8)^2)*111</f>
        <v>13.541852719398923</v>
      </c>
      <c r="H5">
        <f>SQRT((Demand!C6-Demand!$C$9)^2+(Demand!B6-Demand!$B$9)^2)*111</f>
        <v>7.7493137079876835</v>
      </c>
      <c r="I5">
        <f>SQRT((Demand!C6-Demand!$C$10)^2+(Demand!B6-Demand!$B$10)^2)*111</f>
        <v>5.3999290575787686</v>
      </c>
      <c r="J5">
        <f>SQRT((Demand!C6-Demand!$C$11)^2+(Demand!B6-Demand!$B$11)^2)*111</f>
        <v>3.2368332055752291</v>
      </c>
      <c r="K5">
        <f>SQRT((Demand!C6-Demand!$C$12)^2+(Demand!B6-Demand!$B$12)^2)*111</f>
        <v>6.5966946203955974</v>
      </c>
      <c r="L5">
        <f>SQRT((Demand!C6-Demand!$C$13)^2+(Demand!B6-Demand!$B$13)^2)*111</f>
        <v>4.1718343545528711</v>
      </c>
      <c r="M5">
        <f>SQRT((Demand!C6-Demand!$C$14)^2+(Demand!B6-Demand!$B$14)^2)*111</f>
        <v>2.635383982999715</v>
      </c>
      <c r="N5">
        <f>SQRT((Demand!C6-Demand!$C$15)^2+(Demand!B6-Demand!$B$15)^2)*111</f>
        <v>1.4023358875348162</v>
      </c>
      <c r="O5">
        <f>SQRT((Demand!C6-Demand!$C$16)^2+(Demand!B6-Demand!$B$16)^2)*111</f>
        <v>2.7522596657492264</v>
      </c>
      <c r="P5">
        <f>SQRT((Demand!C6-Demand!$C$17)^2+(Demand!B6-Demand!$B$17)^2)*111</f>
        <v>3.5625317889349888</v>
      </c>
      <c r="Q5">
        <f>SQRT((Demand!C6-Demand!$C$18)^2+(Demand!B6-Demand!$B$18)^2)*111</f>
        <v>9.5521693340514258</v>
      </c>
      <c r="R5">
        <f>SQRT((Demand!C6-Demand!$C$19)^2+(Demand!B6-Demand!$B$19)^2)*111</f>
        <v>6.5409378109221716</v>
      </c>
      <c r="S5">
        <f>SQRT((Demand!C6-Demand!$C$20)^2+(Demand!B6-Demand!$B$20)^2)*111</f>
        <v>12.288894910124659</v>
      </c>
      <c r="T5">
        <f>SQRT((Demand!C6-Demand!$C$21)^2+(Demand!B6-Demand!$B$21)^2)*111</f>
        <v>4.0975320391075893</v>
      </c>
      <c r="U5">
        <f>SQRT((Demand!C6-Demand!$C$22)^2+(Demand!B6-Demand!$B$22)^2)*111</f>
        <v>1.3287419579987705</v>
      </c>
    </row>
    <row r="6" spans="1:21" x14ac:dyDescent="0.35">
      <c r="A6">
        <v>5</v>
      </c>
      <c r="B6">
        <f>SQRT((Demand!C7-Demand!$C$3)^2+(Demand!B7-Demand!$B$3)^2)*111</f>
        <v>2.8043505813892882</v>
      </c>
      <c r="C6">
        <f>SQRT((Demand!C7-Demand!$C$4)^2+(Demand!B7-Demand!$B$4)^2)*111</f>
        <v>5.6776394917852953</v>
      </c>
      <c r="D6">
        <f>SQRT((Demand!C7-Demand!$C$5)^2+(Demand!B7-Demand!$B$5)^2)*111</f>
        <v>3.3496033934193266</v>
      </c>
      <c r="E6">
        <f>SQRT((Demand!C7-Demand!$C$6)^2+(Demand!B7-Demand!$B$6)^2)*111</f>
        <v>4.4114671975977897</v>
      </c>
      <c r="F6">
        <f>SQRT((Demand!C7-Demand!$C$7)^2+(Demand!B7-Demand!$B$7)^2)*111</f>
        <v>0</v>
      </c>
      <c r="G6">
        <f>SQRT((Demand!C7-Demand!$C$8)^2+(Demand!B7-Demand!$B$8)^2)*111</f>
        <v>11.110368106814002</v>
      </c>
      <c r="H6">
        <f>SQRT((Demand!C7-Demand!$C$9)^2+(Demand!B7-Demand!$B$9)^2)*111</f>
        <v>7.9945019603733192</v>
      </c>
      <c r="I6">
        <f>SQRT((Demand!C7-Demand!$C$10)^2+(Demand!B7-Demand!$B$10)^2)*111</f>
        <v>5.8715796006599392</v>
      </c>
      <c r="J6">
        <f>SQRT((Demand!C7-Demand!$C$11)^2+(Demand!B7-Demand!$B$11)^2)*111</f>
        <v>7.5382728145527471</v>
      </c>
      <c r="K6">
        <f>SQRT((Demand!C7-Demand!$C$12)^2+(Demand!B7-Demand!$B$12)^2)*111</f>
        <v>9.7826824465871312</v>
      </c>
      <c r="L6">
        <f>SQRT((Demand!C7-Demand!$C$13)^2+(Demand!B7-Demand!$B$13)^2)*111</f>
        <v>2.4158200235442711</v>
      </c>
      <c r="M6">
        <f>SQRT((Demand!C7-Demand!$C$14)^2+(Demand!B7-Demand!$B$14)^2)*111</f>
        <v>2.0165776819417083</v>
      </c>
      <c r="N6">
        <f>SQRT((Demand!C7-Demand!$C$15)^2+(Demand!B7-Demand!$B$15)^2)*111</f>
        <v>3.0150327204881378</v>
      </c>
      <c r="O6">
        <f>SQRT((Demand!C7-Demand!$C$16)^2+(Demand!B7-Demand!$B$16)^2)*111</f>
        <v>1.9610348306389798</v>
      </c>
      <c r="P6">
        <f>SQRT((Demand!C7-Demand!$C$17)^2+(Demand!B7-Demand!$B$17)^2)*111</f>
        <v>6.4533367757798121</v>
      </c>
      <c r="Q6">
        <f>SQRT((Demand!C7-Demand!$C$18)^2+(Demand!B7-Demand!$B$18)^2)*111</f>
        <v>12.338135011338421</v>
      </c>
      <c r="R6">
        <f>SQRT((Demand!C7-Demand!$C$19)^2+(Demand!B7-Demand!$B$19)^2)*111</f>
        <v>10.95022112721866</v>
      </c>
      <c r="S6">
        <f>SQRT((Demand!C7-Demand!$C$20)^2+(Demand!B7-Demand!$B$20)^2)*111</f>
        <v>16.493510764300137</v>
      </c>
      <c r="T6">
        <f>SQRT((Demand!C7-Demand!$C$21)^2+(Demand!B7-Demand!$B$21)^2)*111</f>
        <v>5.1219291008920322</v>
      </c>
      <c r="U6">
        <f>SQRT((Demand!C7-Demand!$C$22)^2+(Demand!B7-Demand!$B$22)^2)*111</f>
        <v>3.6021624495987923</v>
      </c>
    </row>
    <row r="7" spans="1:21" x14ac:dyDescent="0.35">
      <c r="A7">
        <v>6</v>
      </c>
      <c r="B7">
        <f>SQRT((Demand!C8-Demand!$C$3)^2+(Demand!B8-Demand!$B$3)^2)*111</f>
        <v>13.893297056276928</v>
      </c>
      <c r="C7">
        <f>SQRT((Demand!C8-Demand!$C$4)^2+(Demand!B8-Demand!$B$4)^2)*111</f>
        <v>16.332143086576206</v>
      </c>
      <c r="D7">
        <f>SQRT((Demand!C8-Demand!$C$5)^2+(Demand!B8-Demand!$B$5)^2)*111</f>
        <v>12.513056203972193</v>
      </c>
      <c r="E7">
        <f>SQRT((Demand!C8-Demand!$C$6)^2+(Demand!B8-Demand!$B$6)^2)*111</f>
        <v>13.541852719398923</v>
      </c>
      <c r="F7">
        <f>SQRT((Demand!C8-Demand!$C$7)^2+(Demand!B8-Demand!$B$7)^2)*111</f>
        <v>11.110368106814002</v>
      </c>
      <c r="G7">
        <f>SQRT((Demand!C8-Demand!$C$8)^2+(Demand!B8-Demand!$B$8)^2)*111</f>
        <v>0</v>
      </c>
      <c r="H7">
        <f>SQRT((Demand!C8-Demand!$C$9)^2+(Demand!B8-Demand!$B$9)^2)*111</f>
        <v>19.086574934463716</v>
      </c>
      <c r="I7">
        <f>SQRT((Demand!C8-Demand!$C$10)^2+(Demand!B8-Demand!$B$10)^2)*111</f>
        <v>16.971713206806907</v>
      </c>
      <c r="J7">
        <f>SQRT((Demand!C8-Demand!$C$11)^2+(Demand!B8-Demand!$B$11)^2)*111</f>
        <v>15.054309080468522</v>
      </c>
      <c r="K7">
        <f>SQRT((Demand!C8-Demand!$C$12)^2+(Demand!B8-Demand!$B$12)^2)*111</f>
        <v>13.537102809114041</v>
      </c>
      <c r="L7">
        <f>SQRT((Demand!C8-Demand!$C$13)^2+(Demand!B8-Demand!$B$13)^2)*111</f>
        <v>9.5953596879574903</v>
      </c>
      <c r="M7">
        <f>SQRT((Demand!C8-Demand!$C$14)^2+(Demand!B8-Demand!$B$14)^2)*111</f>
        <v>11.400074195717746</v>
      </c>
      <c r="N7">
        <f>SQRT((Demand!C8-Demand!$C$15)^2+(Demand!B8-Demand!$B$15)^2)*111</f>
        <v>12.571005864892427</v>
      </c>
      <c r="O7">
        <f>SQRT((Demand!C8-Demand!$C$16)^2+(Demand!B8-Demand!$B$16)^2)*111</f>
        <v>12.65574472728086</v>
      </c>
      <c r="P7">
        <f>SQRT((Demand!C8-Demand!$C$17)^2+(Demand!B8-Demand!$B$17)^2)*111</f>
        <v>16.857328422171758</v>
      </c>
      <c r="Q7">
        <f>SQRT((Demand!C8-Demand!$C$18)^2+(Demand!B8-Demand!$B$18)^2)*111</f>
        <v>22.968607941160812</v>
      </c>
      <c r="R7">
        <f>SQRT((Demand!C8-Demand!$C$19)^2+(Demand!B8-Demand!$B$19)^2)*111</f>
        <v>18.686561867627866</v>
      </c>
      <c r="S7">
        <f>SQRT((Demand!C8-Demand!$C$20)^2+(Demand!B8-Demand!$B$20)^2)*111</f>
        <v>25.073410906323964</v>
      </c>
      <c r="T7">
        <f>SQRT((Demand!C8-Demand!$C$21)^2+(Demand!B8-Demand!$B$21)^2)*111</f>
        <v>16.106357757000207</v>
      </c>
      <c r="U7">
        <f>SQRT((Demand!C8-Demand!$C$22)^2+(Demand!B8-Demand!$B$22)^2)*111</f>
        <v>13.690057417129557</v>
      </c>
    </row>
    <row r="8" spans="1:21" x14ac:dyDescent="0.35">
      <c r="A8">
        <v>7</v>
      </c>
      <c r="B8">
        <f>SQRT((Demand!C9-Demand!$C$3)^2+(Demand!B9-Demand!$B$3)^2)*111</f>
        <v>5.2999070485228321</v>
      </c>
      <c r="C8">
        <f>SQRT((Demand!C9-Demand!$C$4)^2+(Demand!B9-Demand!$B$4)^2)*111</f>
        <v>3.5679895492357798</v>
      </c>
      <c r="D8">
        <f>SQRT((Demand!C9-Demand!$C$5)^2+(Demand!B9-Demand!$B$5)^2)*111</f>
        <v>7.9974337899435479</v>
      </c>
      <c r="E8">
        <f>SQRT((Demand!C9-Demand!$C$6)^2+(Demand!B9-Demand!$B$6)^2)*111</f>
        <v>7.7493137079876835</v>
      </c>
      <c r="F8">
        <f>SQRT((Demand!C9-Demand!$C$7)^2+(Demand!B9-Demand!$B$7)^2)*111</f>
        <v>7.9945019603733192</v>
      </c>
      <c r="G8">
        <f>SQRT((Demand!C9-Demand!$C$8)^2+(Demand!B9-Demand!$B$8)^2)*111</f>
        <v>19.086574934463716</v>
      </c>
      <c r="H8">
        <f>SQRT((Demand!C9-Demand!$C$9)^2+(Demand!B9-Demand!$B$9)^2)*111</f>
        <v>0</v>
      </c>
      <c r="I8">
        <f>SQRT((Demand!C9-Demand!$C$10)^2+(Demand!B9-Demand!$B$10)^2)*111</f>
        <v>2.3941244991248274</v>
      </c>
      <c r="J8">
        <f>SQRT((Demand!C9-Demand!$C$11)^2+(Demand!B9-Demand!$B$11)^2)*111</f>
        <v>9.8877756544711861</v>
      </c>
      <c r="K8">
        <f>SQRT((Demand!C9-Demand!$C$12)^2+(Demand!B9-Demand!$B$12)^2)*111</f>
        <v>14.106872955646773</v>
      </c>
      <c r="L8">
        <f>SQRT((Demand!C9-Demand!$C$13)^2+(Demand!B9-Demand!$B$13)^2)*111</f>
        <v>9.9439172480440288</v>
      </c>
      <c r="M8">
        <f>SQRT((Demand!C9-Demand!$C$14)^2+(Demand!B9-Demand!$B$14)^2)*111</f>
        <v>8.3109480266831692</v>
      </c>
      <c r="N8">
        <f>SQRT((Demand!C9-Demand!$C$15)^2+(Demand!B9-Demand!$B$15)^2)*111</f>
        <v>7.6600514010721827</v>
      </c>
      <c r="O8">
        <f>SQRT((Demand!C9-Demand!$C$16)^2+(Demand!B9-Demand!$B$16)^2)*111</f>
        <v>6.7833276075855977</v>
      </c>
      <c r="P8">
        <f>SQRT((Demand!C9-Demand!$C$17)^2+(Demand!B9-Demand!$B$17)^2)*111</f>
        <v>5.030006432529933</v>
      </c>
      <c r="Q8">
        <f>SQRT((Demand!C9-Demand!$C$18)^2+(Demand!B9-Demand!$B$18)^2)*111</f>
        <v>6.5199669843815204</v>
      </c>
      <c r="R8">
        <f>SQRT((Demand!C9-Demand!$C$19)^2+(Demand!B9-Demand!$B$19)^2)*111</f>
        <v>11.042208500621333</v>
      </c>
      <c r="S8">
        <f>SQRT((Demand!C9-Demand!$C$20)^2+(Demand!B9-Demand!$B$20)^2)*111</f>
        <v>13.668742661948052</v>
      </c>
      <c r="T8">
        <f>SQRT((Demand!C9-Demand!$C$21)^2+(Demand!B9-Demand!$B$21)^2)*111</f>
        <v>3.6628662533380463</v>
      </c>
      <c r="U8">
        <f>SQRT((Demand!C9-Demand!$C$22)^2+(Demand!B9-Demand!$B$22)^2)*111</f>
        <v>6.6533154295831274</v>
      </c>
    </row>
    <row r="9" spans="1:21" x14ac:dyDescent="0.35">
      <c r="A9">
        <v>8</v>
      </c>
      <c r="B9">
        <f>SQRT((Demand!C10-Demand!$C$3)^2+(Demand!B10-Demand!$B$3)^2)*111</f>
        <v>3.0786771614182324</v>
      </c>
      <c r="C9">
        <f>SQRT((Demand!C10-Demand!$C$4)^2+(Demand!B10-Demand!$B$4)^2)*111</f>
        <v>3.2372648784594467</v>
      </c>
      <c r="D9">
        <f>SQRT((Demand!C10-Demand!$C$5)^2+(Demand!B10-Demand!$B$5)^2)*111</f>
        <v>5.6037508792556547</v>
      </c>
      <c r="E9">
        <f>SQRT((Demand!C10-Demand!$C$6)^2+(Demand!B10-Demand!$B$6)^2)*111</f>
        <v>5.3999290575787686</v>
      </c>
      <c r="F9">
        <f>SQRT((Demand!C10-Demand!$C$7)^2+(Demand!B10-Demand!$B$7)^2)*111</f>
        <v>5.8715796006599392</v>
      </c>
      <c r="G9">
        <f>SQRT((Demand!C10-Demand!$C$8)^2+(Demand!B10-Demand!$B$8)^2)*111</f>
        <v>16.971713206806907</v>
      </c>
      <c r="H9">
        <f>SQRT((Demand!C10-Demand!$C$9)^2+(Demand!B10-Demand!$B$9)^2)*111</f>
        <v>2.3941244991248274</v>
      </c>
      <c r="I9">
        <f>SQRT((Demand!C10-Demand!$C$10)^2+(Demand!B10-Demand!$B$10)^2)*111</f>
        <v>0</v>
      </c>
      <c r="J9">
        <f>SQRT((Demand!C10-Demand!$C$11)^2+(Demand!B10-Demand!$B$11)^2)*111</f>
        <v>7.7883490442581085</v>
      </c>
      <c r="K9">
        <f>SQRT((Demand!C10-Demand!$C$12)^2+(Demand!B10-Demand!$B$12)^2)*111</f>
        <v>11.867091483069391</v>
      </c>
      <c r="L9">
        <f>SQRT((Demand!C10-Demand!$C$13)^2+(Demand!B10-Demand!$B$13)^2)*111</f>
        <v>7.6439504648373893</v>
      </c>
      <c r="M9">
        <f>SQRT((Demand!C10-Demand!$C$14)^2+(Demand!B10-Demand!$B$14)^2)*111</f>
        <v>5.9601635647447253</v>
      </c>
      <c r="N9">
        <f>SQRT((Demand!C10-Demand!$C$15)^2+(Demand!B10-Demand!$B$15)^2)*111</f>
        <v>5.2666711475182248</v>
      </c>
      <c r="O9">
        <f>SQRT((Demand!C10-Demand!$C$16)^2+(Demand!B10-Demand!$B$16)^2)*111</f>
        <v>4.4595806224764232</v>
      </c>
      <c r="P9">
        <f>SQRT((Demand!C10-Demand!$C$17)^2+(Demand!B10-Demand!$B$17)^2)*111</f>
        <v>3.2056627473718717</v>
      </c>
      <c r="Q9">
        <f>SQRT((Demand!C10-Demand!$C$18)^2+(Demand!B10-Demand!$B$18)^2)*111</f>
        <v>7.0548134205671928</v>
      </c>
      <c r="R9">
        <f>SQRT((Demand!C10-Demand!$C$19)^2+(Demand!B10-Demand!$B$19)^2)*111</f>
        <v>9.4948696885003709</v>
      </c>
      <c r="S9">
        <f>SQRT((Demand!C10-Demand!$C$20)^2+(Demand!B10-Demand!$B$20)^2)*111</f>
        <v>13.141562718446048</v>
      </c>
      <c r="T9">
        <f>SQRT((Demand!C10-Demand!$C$21)^2+(Demand!B10-Demand!$B$21)^2)*111</f>
        <v>1.3060291689112864</v>
      </c>
      <c r="U9">
        <f>SQRT((Demand!C10-Demand!$C$22)^2+(Demand!B10-Demand!$B$22)^2)*111</f>
        <v>4.2651652995851483</v>
      </c>
    </row>
    <row r="10" spans="1:21" x14ac:dyDescent="0.35">
      <c r="A10">
        <v>9</v>
      </c>
      <c r="B10">
        <f>SQRT((Demand!C11-Demand!$C$3)^2+(Demand!B11-Demand!$B$3)^2)*111</f>
        <v>6.8916133650108753</v>
      </c>
      <c r="C10">
        <f>SQRT((Demand!C11-Demand!$C$4)^2+(Demand!B11-Demand!$B$4)^2)*111</f>
        <v>10.354786614342354</v>
      </c>
      <c r="D10">
        <f>SQRT((Demand!C11-Demand!$C$5)^2+(Demand!B11-Demand!$B$5)^2)*111</f>
        <v>4.1896917107872529</v>
      </c>
      <c r="E10">
        <f>SQRT((Demand!C11-Demand!$C$6)^2+(Demand!B11-Demand!$B$6)^2)*111</f>
        <v>3.2368332055752291</v>
      </c>
      <c r="F10">
        <f>SQRT((Demand!C11-Demand!$C$7)^2+(Demand!B11-Demand!$B$7)^2)*111</f>
        <v>7.5382728145527471</v>
      </c>
      <c r="G10">
        <f>SQRT((Demand!C11-Demand!$C$8)^2+(Demand!B11-Demand!$B$8)^2)*111</f>
        <v>15.054309080468522</v>
      </c>
      <c r="H10">
        <f>SQRT((Demand!C11-Demand!$C$9)^2+(Demand!B11-Demand!$B$9)^2)*111</f>
        <v>9.8877756544711861</v>
      </c>
      <c r="I10">
        <f>SQRT((Demand!C11-Demand!$C$10)^2+(Demand!B11-Demand!$B$10)^2)*111</f>
        <v>7.7883490442581085</v>
      </c>
      <c r="J10">
        <f>SQRT((Demand!C11-Demand!$C$11)^2+(Demand!B11-Demand!$B$11)^2)*111</f>
        <v>0</v>
      </c>
      <c r="K10">
        <f>SQRT((Demand!C11-Demand!$C$12)^2+(Demand!B11-Demand!$B$12)^2)*111</f>
        <v>4.4142056345167093</v>
      </c>
      <c r="L10">
        <f>SQRT((Demand!C11-Demand!$C$13)^2+(Demand!B11-Demand!$B$13)^2)*111</f>
        <v>6.6648247764193016</v>
      </c>
      <c r="M10">
        <f>SQRT((Demand!C11-Demand!$C$14)^2+(Demand!B11-Demand!$B$14)^2)*111</f>
        <v>5.5910563084517113</v>
      </c>
      <c r="N10">
        <f>SQRT((Demand!C11-Demand!$C$15)^2+(Demand!B11-Demand!$B$15)^2)*111</f>
        <v>4.5535022319029634</v>
      </c>
      <c r="O10">
        <f>SQRT((Demand!C11-Demand!$C$16)^2+(Demand!B11-Demand!$B$16)^2)*111</f>
        <v>5.9877406011142362</v>
      </c>
      <c r="P10">
        <f>SQRT((Demand!C11-Demand!$C$17)^2+(Demand!B11-Demand!$B$17)^2)*111</f>
        <v>4.9011317687266018</v>
      </c>
      <c r="Q10">
        <f>SQRT((Demand!C11-Demand!$C$18)^2+(Demand!B11-Demand!$B$18)^2)*111</f>
        <v>9.5484107824800688</v>
      </c>
      <c r="R10">
        <f>SQRT((Demand!C11-Demand!$C$19)^2+(Demand!B11-Demand!$B$19)^2)*111</f>
        <v>3.7428089999999936</v>
      </c>
      <c r="S10">
        <f>SQRT((Demand!C11-Demand!$C$20)^2+(Demand!B11-Demand!$B$20)^2)*111</f>
        <v>10.036321376070584</v>
      </c>
      <c r="T10">
        <f>SQRT((Demand!C11-Demand!$C$21)^2+(Demand!B11-Demand!$B$21)^2)*111</f>
        <v>6.5403904344550527</v>
      </c>
      <c r="U10">
        <f>SQRT((Demand!C11-Demand!$C$22)^2+(Demand!B11-Demand!$B$22)^2)*111</f>
        <v>4.4723594391725419</v>
      </c>
    </row>
    <row r="11" spans="1:21" x14ac:dyDescent="0.35">
      <c r="A11">
        <v>10</v>
      </c>
      <c r="B11">
        <f>SQRT((Demand!C12-Demand!$C$3)^2+(Demand!B12-Demand!$B$3)^2)*111</f>
        <v>10.250484851574109</v>
      </c>
      <c r="C11">
        <f>SQRT((Demand!C12-Demand!$C$4)^2+(Demand!B12-Demand!$B$4)^2)*111</f>
        <v>14.001914003534282</v>
      </c>
      <c r="D11">
        <f>SQRT((Demand!C12-Demand!$C$5)^2+(Demand!B12-Demand!$B$5)^2)*111</f>
        <v>6.952363884484269</v>
      </c>
      <c r="E11">
        <f>SQRT((Demand!C12-Demand!$C$6)^2+(Demand!B12-Demand!$B$6)^2)*111</f>
        <v>6.5966946203955974</v>
      </c>
      <c r="F11">
        <f>SQRT((Demand!C12-Demand!$C$7)^2+(Demand!B12-Demand!$B$7)^2)*111</f>
        <v>9.7826824465871312</v>
      </c>
      <c r="G11">
        <f>SQRT((Demand!C12-Demand!$C$8)^2+(Demand!B12-Demand!$B$8)^2)*111</f>
        <v>13.537102809114041</v>
      </c>
      <c r="H11">
        <f>SQRT((Demand!C12-Demand!$C$9)^2+(Demand!B12-Demand!$B$9)^2)*111</f>
        <v>14.106872955646773</v>
      </c>
      <c r="I11">
        <f>SQRT((Demand!C12-Demand!$C$10)^2+(Demand!B12-Demand!$B$10)^2)*111</f>
        <v>11.867091483069391</v>
      </c>
      <c r="J11">
        <f>SQRT((Demand!C12-Demand!$C$11)^2+(Demand!B12-Demand!$B$11)^2)*111</f>
        <v>4.4142056345167093</v>
      </c>
      <c r="K11">
        <f>SQRT((Demand!C12-Demand!$C$12)^2+(Demand!B12-Demand!$B$12)^2)*111</f>
        <v>0</v>
      </c>
      <c r="L11">
        <f>SQRT((Demand!C12-Demand!$C$13)^2+(Demand!B12-Demand!$B$13)^2)*111</f>
        <v>7.9071990092275239</v>
      </c>
      <c r="M11">
        <f>SQRT((Demand!C12-Demand!$C$14)^2+(Demand!B12-Demand!$B$14)^2)*111</f>
        <v>7.8274569269086989</v>
      </c>
      <c r="N11">
        <f>SQRT((Demand!C12-Demand!$C$15)^2+(Demand!B12-Demand!$B$15)^2)*111</f>
        <v>7.39569253439379</v>
      </c>
      <c r="O11">
        <f>SQRT((Demand!C12-Demand!$C$16)^2+(Demand!B12-Demand!$B$16)^2)*111</f>
        <v>8.9159935972504805</v>
      </c>
      <c r="P11">
        <f>SQRT((Demand!C12-Demand!$C$17)^2+(Demand!B12-Demand!$B$17)^2)*111</f>
        <v>9.2347874579570508</v>
      </c>
      <c r="Q11">
        <f>SQRT((Demand!C12-Demand!$C$18)^2+(Demand!B12-Demand!$B$18)^2)*111</f>
        <v>13.803641122686541</v>
      </c>
      <c r="R11">
        <f>SQRT((Demand!C12-Demand!$C$19)^2+(Demand!B12-Demand!$B$19)^2)*111</f>
        <v>6.381693780750691</v>
      </c>
      <c r="S11">
        <f>SQRT((Demand!C12-Demand!$C$20)^2+(Demand!B12-Demand!$B$20)^2)*111</f>
        <v>12.494184265862408</v>
      </c>
      <c r="T11">
        <f>SQRT((Demand!C12-Demand!$C$21)^2+(Demand!B12-Demand!$B$21)^2)*111</f>
        <v>10.568061039118223</v>
      </c>
      <c r="U11">
        <f>SQRT((Demand!C12-Demand!$C$22)^2+(Demand!B12-Demand!$B$22)^2)*111</f>
        <v>7.9068153557715588</v>
      </c>
    </row>
    <row r="12" spans="1:21" x14ac:dyDescent="0.35">
      <c r="A12">
        <v>11</v>
      </c>
      <c r="B12">
        <f>SQRT((Demand!C13-Demand!$C$3)^2+(Demand!B13-Demand!$B$3)^2)*111</f>
        <v>4.6534371598290063</v>
      </c>
      <c r="C12">
        <f>SQRT((Demand!C13-Demand!$C$4)^2+(Demand!B13-Demand!$B$4)^2)*111</f>
        <v>8.0118567973963639</v>
      </c>
      <c r="D12">
        <f>SQRT((Demand!C13-Demand!$C$5)^2+(Demand!B13-Demand!$B$5)^2)*111</f>
        <v>3.034746481759647</v>
      </c>
      <c r="E12">
        <f>SQRT((Demand!C13-Demand!$C$6)^2+(Demand!B13-Demand!$B$6)^2)*111</f>
        <v>4.1718343545528711</v>
      </c>
      <c r="F12">
        <f>SQRT((Demand!C13-Demand!$C$7)^2+(Demand!B13-Demand!$B$7)^2)*111</f>
        <v>2.4158200235442711</v>
      </c>
      <c r="G12">
        <f>SQRT((Demand!C13-Demand!$C$8)^2+(Demand!B13-Demand!$B$8)^2)*111</f>
        <v>9.5953596879574903</v>
      </c>
      <c r="H12">
        <f>SQRT((Demand!C13-Demand!$C$9)^2+(Demand!B13-Demand!$B$9)^2)*111</f>
        <v>9.9439172480440288</v>
      </c>
      <c r="I12">
        <f>SQRT((Demand!C13-Demand!$C$10)^2+(Demand!B13-Demand!$B$10)^2)*111</f>
        <v>7.6439504648373893</v>
      </c>
      <c r="J12">
        <f>SQRT((Demand!C13-Demand!$C$11)^2+(Demand!B13-Demand!$B$11)^2)*111</f>
        <v>6.6648247764193016</v>
      </c>
      <c r="K12">
        <f>SQRT((Demand!C13-Demand!$C$12)^2+(Demand!B13-Demand!$B$12)^2)*111</f>
        <v>7.9071990092275239</v>
      </c>
      <c r="L12">
        <f>SQRT((Demand!C13-Demand!$C$13)^2+(Demand!B13-Demand!$B$13)^2)*111</f>
        <v>0</v>
      </c>
      <c r="M12">
        <f>SQRT((Demand!C13-Demand!$C$14)^2+(Demand!B13-Demand!$B$14)^2)*111</f>
        <v>1.8054552141390519</v>
      </c>
      <c r="N12">
        <f>SQRT((Demand!C13-Demand!$C$15)^2+(Demand!B13-Demand!$B$15)^2)*111</f>
        <v>3.0097613271731323</v>
      </c>
      <c r="O12">
        <f>SQRT((Demand!C13-Demand!$C$16)^2+(Demand!B13-Demand!$B$16)^2)*111</f>
        <v>3.1867464572597264</v>
      </c>
      <c r="P12">
        <f>SQRT((Demand!C13-Demand!$C$17)^2+(Demand!B13-Demand!$B$17)^2)*111</f>
        <v>7.2736640205073959</v>
      </c>
      <c r="Q12">
        <f>SQRT((Demand!C13-Demand!$C$18)^2+(Demand!B13-Demand!$B$18)^2)*111</f>
        <v>13.381275364975085</v>
      </c>
      <c r="R12">
        <f>SQRT((Demand!C13-Demand!$C$19)^2+(Demand!B13-Demand!$B$19)^2)*111</f>
        <v>10.361086446946262</v>
      </c>
      <c r="S12">
        <f>SQRT((Demand!C13-Demand!$C$20)^2+(Demand!B13-Demand!$B$20)^2)*111</f>
        <v>16.392055063056617</v>
      </c>
      <c r="T12">
        <f>SQRT((Demand!C13-Demand!$C$21)^2+(Demand!B13-Demand!$B$21)^2)*111</f>
        <v>6.6241192089660101</v>
      </c>
      <c r="U12">
        <f>SQRT((Demand!C13-Demand!$C$22)^2+(Demand!B13-Demand!$B$22)^2)*111</f>
        <v>4.1022482367411417</v>
      </c>
    </row>
    <row r="13" spans="1:21" x14ac:dyDescent="0.35">
      <c r="A13">
        <v>12</v>
      </c>
      <c r="B13">
        <f>SQRT((Demand!C14-Demand!$C$3)^2+(Demand!B14-Demand!$B$3)^2)*111</f>
        <v>3.1240134191411633</v>
      </c>
      <c r="C13">
        <f>SQRT((Demand!C14-Demand!$C$4)^2+(Demand!B14-Demand!$B$4)^2)*111</f>
        <v>6.785575263145418</v>
      </c>
      <c r="D13">
        <f>SQRT((Demand!C14-Demand!$C$5)^2+(Demand!B14-Demand!$B$5)^2)*111</f>
        <v>1.4755874793371038</v>
      </c>
      <c r="E13">
        <f>SQRT((Demand!C14-Demand!$C$6)^2+(Demand!B14-Demand!$B$6)^2)*111</f>
        <v>2.635383982999715</v>
      </c>
      <c r="F13">
        <f>SQRT((Demand!C14-Demand!$C$7)^2+(Demand!B14-Demand!$B$7)^2)*111</f>
        <v>2.0165776819417083</v>
      </c>
      <c r="G13">
        <f>SQRT((Demand!C14-Demand!$C$8)^2+(Demand!B14-Demand!$B$8)^2)*111</f>
        <v>11.400074195717746</v>
      </c>
      <c r="H13">
        <f>SQRT((Demand!C14-Demand!$C$9)^2+(Demand!B14-Demand!$B$9)^2)*111</f>
        <v>8.3109480266831692</v>
      </c>
      <c r="I13">
        <f>SQRT((Demand!C14-Demand!$C$10)^2+(Demand!B14-Demand!$B$10)^2)*111</f>
        <v>5.9601635647447253</v>
      </c>
      <c r="J13">
        <f>SQRT((Demand!C14-Demand!$C$11)^2+(Demand!B14-Demand!$B$11)^2)*111</f>
        <v>5.5910563084517113</v>
      </c>
      <c r="K13">
        <f>SQRT((Demand!C14-Demand!$C$12)^2+(Demand!B14-Demand!$B$12)^2)*111</f>
        <v>7.8274569269086989</v>
      </c>
      <c r="L13">
        <f>SQRT((Demand!C14-Demand!$C$13)^2+(Demand!B14-Demand!$B$13)^2)*111</f>
        <v>1.8054552141390519</v>
      </c>
      <c r="M13">
        <f>SQRT((Demand!C14-Demand!$C$14)^2+(Demand!B14-Demand!$B$14)^2)*111</f>
        <v>0</v>
      </c>
      <c r="N13">
        <f>SQRT((Demand!C14-Demand!$C$15)^2+(Demand!B14-Demand!$B$15)^2)*111</f>
        <v>1.2944007034153351</v>
      </c>
      <c r="O13">
        <f>SQRT((Demand!C14-Demand!$C$16)^2+(Demand!B14-Demand!$B$16)^2)*111</f>
        <v>1.5502123097669895</v>
      </c>
      <c r="P13">
        <f>SQRT((Demand!C14-Demand!$C$17)^2+(Demand!B14-Demand!$B$17)^2)*111</f>
        <v>5.481777931489475</v>
      </c>
      <c r="Q13">
        <f>SQRT((Demand!C14-Demand!$C$18)^2+(Demand!B14-Demand!$B$18)^2)*111</f>
        <v>11.583321711270115</v>
      </c>
      <c r="R13">
        <f>SQRT((Demand!C14-Demand!$C$19)^2+(Demand!B14-Demand!$B$19)^2)*111</f>
        <v>9.1221836951588848</v>
      </c>
      <c r="S13">
        <f>SQRT((Demand!C14-Demand!$C$20)^2+(Demand!B14-Demand!$B$20)^2)*111</f>
        <v>14.917886302006679</v>
      </c>
      <c r="T13">
        <f>SQRT((Demand!C14-Demand!$C$21)^2+(Demand!B14-Demand!$B$21)^2)*111</f>
        <v>4.8724817001775502</v>
      </c>
      <c r="U13">
        <f>SQRT((Demand!C14-Demand!$C$22)^2+(Demand!B14-Demand!$B$22)^2)*111</f>
        <v>2.3140582645626644</v>
      </c>
    </row>
    <row r="14" spans="1:21" x14ac:dyDescent="0.35">
      <c r="A14">
        <v>13</v>
      </c>
      <c r="B14">
        <f>SQRT((Demand!C15-Demand!$C$3)^2+(Demand!B15-Demand!$B$3)^2)*111</f>
        <v>2.9022380718222482</v>
      </c>
      <c r="C14">
        <f>SQRT((Demand!C15-Demand!$C$4)^2+(Demand!B15-Demand!$B$4)^2)*111</f>
        <v>6.6987395855972292</v>
      </c>
      <c r="D14">
        <f>SQRT((Demand!C15-Demand!$C$5)^2+(Demand!B15-Demand!$B$5)^2)*111</f>
        <v>0.44335511020291896</v>
      </c>
      <c r="E14">
        <f>SQRT((Demand!C15-Demand!$C$6)^2+(Demand!B15-Demand!$B$6)^2)*111</f>
        <v>1.4023358875348162</v>
      </c>
      <c r="F14">
        <f>SQRT((Demand!C15-Demand!$C$7)^2+(Demand!B15-Demand!$B$7)^2)*111</f>
        <v>3.0150327204881378</v>
      </c>
      <c r="G14">
        <f>SQRT((Demand!C15-Demand!$C$8)^2+(Demand!B15-Demand!$B$8)^2)*111</f>
        <v>12.571005864892427</v>
      </c>
      <c r="H14">
        <f>SQRT((Demand!C15-Demand!$C$9)^2+(Demand!B15-Demand!$B$9)^2)*111</f>
        <v>7.6600514010721827</v>
      </c>
      <c r="I14">
        <f>SQRT((Demand!C15-Demand!$C$10)^2+(Demand!B15-Demand!$B$10)^2)*111</f>
        <v>5.2666711475182248</v>
      </c>
      <c r="J14">
        <f>SQRT((Demand!C15-Demand!$C$11)^2+(Demand!B15-Demand!$B$11)^2)*111</f>
        <v>4.5535022319029634</v>
      </c>
      <c r="K14">
        <f>SQRT((Demand!C15-Demand!$C$12)^2+(Demand!B15-Demand!$B$12)^2)*111</f>
        <v>7.39569253439379</v>
      </c>
      <c r="L14">
        <f>SQRT((Demand!C15-Demand!$C$13)^2+(Demand!B15-Demand!$B$13)^2)*111</f>
        <v>3.0097613271731323</v>
      </c>
      <c r="M14">
        <f>SQRT((Demand!C15-Demand!$C$14)^2+(Demand!B15-Demand!$B$14)^2)*111</f>
        <v>1.2944007034153351</v>
      </c>
      <c r="N14">
        <f>SQRT((Demand!C15-Demand!$C$15)^2+(Demand!B15-Demand!$B$15)^2)*111</f>
        <v>0</v>
      </c>
      <c r="O14">
        <f>SQRT((Demand!C15-Demand!$C$16)^2+(Demand!B15-Demand!$B$16)^2)*111</f>
        <v>1.5376150339737593</v>
      </c>
      <c r="P14">
        <f>SQRT((Demand!C15-Demand!$C$17)^2+(Demand!B15-Demand!$B$17)^2)*111</f>
        <v>4.2882045816460233</v>
      </c>
      <c r="Q14">
        <f>SQRT((Demand!C15-Demand!$C$18)^2+(Demand!B15-Demand!$B$18)^2)*111</f>
        <v>10.398970886055466</v>
      </c>
      <c r="R14">
        <f>SQRT((Demand!C15-Demand!$C$19)^2+(Demand!B15-Demand!$B$19)^2)*111</f>
        <v>7.9425620935947503</v>
      </c>
      <c r="S14">
        <f>SQRT((Demand!C15-Demand!$C$20)^2+(Demand!B15-Demand!$B$20)^2)*111</f>
        <v>13.641434589675885</v>
      </c>
      <c r="T14">
        <f>SQRT((Demand!C15-Demand!$C$21)^2+(Demand!B15-Demand!$B$21)^2)*111</f>
        <v>4.0518896226040297</v>
      </c>
      <c r="U14">
        <f>SQRT((Demand!C15-Demand!$C$22)^2+(Demand!B15-Demand!$B$22)^2)*111</f>
        <v>1.1477430970464988</v>
      </c>
    </row>
    <row r="15" spans="1:21" x14ac:dyDescent="0.35">
      <c r="A15">
        <v>14</v>
      </c>
      <c r="B15">
        <f>SQRT((Demand!C16-Demand!$C$3)^2+(Demand!B16-Demand!$B$3)^2)*111</f>
        <v>1.5792843197192643</v>
      </c>
      <c r="C15">
        <f>SQRT((Demand!C16-Demand!$C$4)^2+(Demand!B16-Demand!$B$4)^2)*111</f>
        <v>5.3122840656712302</v>
      </c>
      <c r="D15">
        <f>SQRT((Demand!C16-Demand!$C$5)^2+(Demand!B16-Demand!$B$5)^2)*111</f>
        <v>1.9768696508078185</v>
      </c>
      <c r="E15">
        <f>SQRT((Demand!C16-Demand!$C$6)^2+(Demand!B16-Demand!$B$6)^2)*111</f>
        <v>2.7522596657492264</v>
      </c>
      <c r="F15">
        <f>SQRT((Demand!C16-Demand!$C$7)^2+(Demand!B16-Demand!$B$7)^2)*111</f>
        <v>1.9610348306389798</v>
      </c>
      <c r="G15">
        <f>SQRT((Demand!C16-Demand!$C$8)^2+(Demand!B16-Demand!$B$8)^2)*111</f>
        <v>12.65574472728086</v>
      </c>
      <c r="H15">
        <f>SQRT((Demand!C16-Demand!$C$9)^2+(Demand!B16-Demand!$B$9)^2)*111</f>
        <v>6.7833276075855977</v>
      </c>
      <c r="I15">
        <f>SQRT((Demand!C16-Demand!$C$10)^2+(Demand!B16-Demand!$B$10)^2)*111</f>
        <v>4.4595806224764232</v>
      </c>
      <c r="J15">
        <f>SQRT((Demand!C16-Demand!$C$11)^2+(Demand!B16-Demand!$B$11)^2)*111</f>
        <v>5.9877406011142362</v>
      </c>
      <c r="K15">
        <f>SQRT((Demand!C16-Demand!$C$12)^2+(Demand!B16-Demand!$B$12)^2)*111</f>
        <v>8.9159935972504805</v>
      </c>
      <c r="L15">
        <f>SQRT((Demand!C16-Demand!$C$13)^2+(Demand!B16-Demand!$B$13)^2)*111</f>
        <v>3.1867464572597264</v>
      </c>
      <c r="M15">
        <f>SQRT((Demand!C16-Demand!$C$14)^2+(Demand!B16-Demand!$B$14)^2)*111</f>
        <v>1.5502123097669895</v>
      </c>
      <c r="N15">
        <f>SQRT((Demand!C16-Demand!$C$15)^2+(Demand!B16-Demand!$B$15)^2)*111</f>
        <v>1.5376150339737593</v>
      </c>
      <c r="O15">
        <f>SQRT((Demand!C16-Demand!$C$16)^2+(Demand!B16-Demand!$B$16)^2)*111</f>
        <v>0</v>
      </c>
      <c r="P15">
        <f>SQRT((Demand!C16-Demand!$C$17)^2+(Demand!B16-Demand!$B$17)^2)*111</f>
        <v>4.5141812478684704</v>
      </c>
      <c r="Q15">
        <f>SQRT((Demand!C16-Demand!$C$18)^2+(Demand!B16-Demand!$B$18)^2)*111</f>
        <v>10.4875602122851</v>
      </c>
      <c r="R15">
        <f>SQRT((Demand!C16-Demand!$C$19)^2+(Demand!B16-Demand!$B$19)^2)*111</f>
        <v>9.1804235445139906</v>
      </c>
      <c r="S15">
        <f>SQRT((Demand!C16-Demand!$C$20)^2+(Demand!B16-Demand!$B$20)^2)*111</f>
        <v>14.562801848200326</v>
      </c>
      <c r="T15">
        <f>SQRT((Demand!C16-Demand!$C$21)^2+(Demand!B16-Demand!$B$21)^2)*111</f>
        <v>3.4595894385288957</v>
      </c>
      <c r="U15">
        <f>SQRT((Demand!C16-Demand!$C$22)^2+(Demand!B16-Demand!$B$22)^2)*111</f>
        <v>1.6980358321375273</v>
      </c>
    </row>
    <row r="16" spans="1:21" x14ac:dyDescent="0.35">
      <c r="A16">
        <v>15</v>
      </c>
      <c r="B16">
        <f>SQRT((Demand!C17-Demand!$C$3)^2+(Demand!B17-Demand!$B$3)^2)*111</f>
        <v>4.1180188549244967</v>
      </c>
      <c r="C16">
        <f>SQRT((Demand!C17-Demand!$C$4)^2+(Demand!B17-Demand!$B$4)^2)*111</f>
        <v>6.2988371223710065</v>
      </c>
      <c r="D16">
        <f>SQRT((Demand!C17-Demand!$C$5)^2+(Demand!B17-Demand!$B$5)^2)*111</f>
        <v>4.3905395938537346</v>
      </c>
      <c r="E16">
        <f>SQRT((Demand!C17-Demand!$C$6)^2+(Demand!B17-Demand!$B$6)^2)*111</f>
        <v>3.5625317889349888</v>
      </c>
      <c r="F16">
        <f>SQRT((Demand!C17-Demand!$C$7)^2+(Demand!B17-Demand!$B$7)^2)*111</f>
        <v>6.4533367757798121</v>
      </c>
      <c r="G16">
        <f>SQRT((Demand!C17-Demand!$C$8)^2+(Demand!B17-Demand!$B$8)^2)*111</f>
        <v>16.857328422171758</v>
      </c>
      <c r="H16">
        <f>SQRT((Demand!C17-Demand!$C$9)^2+(Demand!B17-Demand!$B$9)^2)*111</f>
        <v>5.030006432529933</v>
      </c>
      <c r="I16">
        <f>SQRT((Demand!C17-Demand!$C$10)^2+(Demand!B17-Demand!$B$10)^2)*111</f>
        <v>3.2056627473718717</v>
      </c>
      <c r="J16">
        <f>SQRT((Demand!C17-Demand!$C$11)^2+(Demand!B17-Demand!$B$11)^2)*111</f>
        <v>4.9011317687266018</v>
      </c>
      <c r="K16">
        <f>SQRT((Demand!C17-Demand!$C$12)^2+(Demand!B17-Demand!$B$12)^2)*111</f>
        <v>9.2347874579570508</v>
      </c>
      <c r="L16">
        <f>SQRT((Demand!C17-Demand!$C$13)^2+(Demand!B17-Demand!$B$13)^2)*111</f>
        <v>7.2736640205073959</v>
      </c>
      <c r="M16">
        <f>SQRT((Demand!C17-Demand!$C$14)^2+(Demand!B17-Demand!$B$14)^2)*111</f>
        <v>5.481777931489475</v>
      </c>
      <c r="N16">
        <f>SQRT((Demand!C17-Demand!$C$15)^2+(Demand!B17-Demand!$B$15)^2)*111</f>
        <v>4.2882045816460233</v>
      </c>
      <c r="O16">
        <f>SQRT((Demand!C17-Demand!$C$16)^2+(Demand!B17-Demand!$B$16)^2)*111</f>
        <v>4.5141812478684704</v>
      </c>
      <c r="P16">
        <f>SQRT((Demand!C17-Demand!$C$17)^2+(Demand!B17-Demand!$B$17)^2)*111</f>
        <v>0</v>
      </c>
      <c r="Q16">
        <f>SQRT((Demand!C17-Demand!$C$18)^2+(Demand!B17-Demand!$B$18)^2)*111</f>
        <v>6.1113253461592913</v>
      </c>
      <c r="R16">
        <f>SQRT((Demand!C17-Demand!$C$19)^2+(Demand!B17-Demand!$B$19)^2)*111</f>
        <v>6.2931266664126628</v>
      </c>
      <c r="S16">
        <f>SQRT((Demand!C17-Demand!$C$20)^2+(Demand!B17-Demand!$B$20)^2)*111</f>
        <v>10.474126199589183</v>
      </c>
      <c r="T16">
        <f>SQRT((Demand!C17-Demand!$C$21)^2+(Demand!B17-Demand!$B$21)^2)*111</f>
        <v>2.2764340711646063</v>
      </c>
      <c r="U16">
        <f>SQRT((Demand!C17-Demand!$C$22)^2+(Demand!B17-Demand!$B$22)^2)*111</f>
        <v>3.1714500142783404</v>
      </c>
    </row>
    <row r="17" spans="1:21" x14ac:dyDescent="0.35">
      <c r="A17">
        <v>16</v>
      </c>
      <c r="B17">
        <f>SQRT((Demand!C18-Demand!$C$3)^2+(Demand!B18-Demand!$B$3)^2)*111</f>
        <v>9.6620059095104533</v>
      </c>
      <c r="C17">
        <f>SQRT((Demand!C18-Demand!$C$4)^2+(Demand!B18-Demand!$B$4)^2)*111</f>
        <v>9.8686873188359154</v>
      </c>
      <c r="D17">
        <f>SQRT((Demand!C18-Demand!$C$5)^2+(Demand!B18-Demand!$B$5)^2)*111</f>
        <v>10.483314391377734</v>
      </c>
      <c r="E17">
        <f>SQRT((Demand!C18-Demand!$C$6)^2+(Demand!B18-Demand!$B$6)^2)*111</f>
        <v>9.5521693340514258</v>
      </c>
      <c r="F17">
        <f>SQRT((Demand!C18-Demand!$C$7)^2+(Demand!B18-Demand!$B$7)^2)*111</f>
        <v>12.338135011338421</v>
      </c>
      <c r="G17">
        <f>SQRT((Demand!C18-Demand!$C$8)^2+(Demand!B18-Demand!$B$8)^2)*111</f>
        <v>22.968607941160812</v>
      </c>
      <c r="H17">
        <f>SQRT((Demand!C18-Demand!$C$9)^2+(Demand!B18-Demand!$B$9)^2)*111</f>
        <v>6.5199669843815204</v>
      </c>
      <c r="I17">
        <f>SQRT((Demand!C18-Demand!$C$10)^2+(Demand!B18-Demand!$B$10)^2)*111</f>
        <v>7.0548134205671928</v>
      </c>
      <c r="J17">
        <f>SQRT((Demand!C18-Demand!$C$11)^2+(Demand!B18-Demand!$B$11)^2)*111</f>
        <v>9.5484107824800688</v>
      </c>
      <c r="K17">
        <f>SQRT((Demand!C18-Demand!$C$12)^2+(Demand!B18-Demand!$B$12)^2)*111</f>
        <v>13.803641122686541</v>
      </c>
      <c r="L17">
        <f>SQRT((Demand!C18-Demand!$C$13)^2+(Demand!B18-Demand!$B$13)^2)*111</f>
        <v>13.381275364975085</v>
      </c>
      <c r="M17">
        <f>SQRT((Demand!C18-Demand!$C$14)^2+(Demand!B18-Demand!$B$14)^2)*111</f>
        <v>11.583321711270115</v>
      </c>
      <c r="N17">
        <f>SQRT((Demand!C18-Demand!$C$15)^2+(Demand!B18-Demand!$B$15)^2)*111</f>
        <v>10.398970886055466</v>
      </c>
      <c r="O17">
        <f>SQRT((Demand!C18-Demand!$C$16)^2+(Demand!B18-Demand!$B$16)^2)*111</f>
        <v>10.4875602122851</v>
      </c>
      <c r="P17">
        <f>SQRT((Demand!C18-Demand!$C$17)^2+(Demand!B18-Demand!$B$17)^2)*111</f>
        <v>6.1113253461592913</v>
      </c>
      <c r="Q17">
        <f>SQRT((Demand!C18-Demand!$C$18)^2+(Demand!B18-Demand!$B$18)^2)*111</f>
        <v>0</v>
      </c>
      <c r="R17">
        <f>SQRT((Demand!C18-Demand!$C$19)^2+(Demand!B18-Demand!$B$19)^2)*111</f>
        <v>8.2512674627330203</v>
      </c>
      <c r="S17">
        <f>SQRT((Demand!C18-Demand!$C$20)^2+(Demand!B18-Demand!$B$20)^2)*111</f>
        <v>7.8972462786166266</v>
      </c>
      <c r="T17">
        <f>SQRT((Demand!C18-Demand!$C$21)^2+(Demand!B18-Demand!$B$21)^2)*111</f>
        <v>7.2984670602771775</v>
      </c>
      <c r="U17">
        <f>SQRT((Demand!C18-Demand!$C$22)^2+(Demand!B18-Demand!$B$22)^2)*111</f>
        <v>9.2800831768203018</v>
      </c>
    </row>
    <row r="18" spans="1:21" x14ac:dyDescent="0.35">
      <c r="A18">
        <v>17</v>
      </c>
      <c r="B18">
        <f>SQRT((Demand!C19-Demand!$C$3)^2+(Demand!B19-Demand!$B$3)^2)*111</f>
        <v>9.6790418086615091</v>
      </c>
      <c r="C18">
        <f>SQRT((Demand!C19-Demand!$C$4)^2+(Demand!B19-Demand!$B$4)^2)*111</f>
        <v>12.555526735545685</v>
      </c>
      <c r="D18">
        <f>SQRT((Demand!C19-Demand!$C$5)^2+(Demand!B19-Demand!$B$5)^2)*111</f>
        <v>7.6554265228023919</v>
      </c>
      <c r="E18">
        <f>SQRT((Demand!C19-Demand!$C$6)^2+(Demand!B19-Demand!$B$6)^2)*111</f>
        <v>6.5409378109221716</v>
      </c>
      <c r="F18">
        <f>SQRT((Demand!C19-Demand!$C$7)^2+(Demand!B19-Demand!$B$7)^2)*111</f>
        <v>10.95022112721866</v>
      </c>
      <c r="G18">
        <f>SQRT((Demand!C19-Demand!$C$8)^2+(Demand!B19-Demand!$B$8)^2)*111</f>
        <v>18.686561867627866</v>
      </c>
      <c r="H18">
        <f>SQRT((Demand!C19-Demand!$C$9)^2+(Demand!B19-Demand!$B$9)^2)*111</f>
        <v>11.042208500621333</v>
      </c>
      <c r="I18">
        <f>SQRT((Demand!C19-Demand!$C$10)^2+(Demand!B19-Demand!$B$10)^2)*111</f>
        <v>9.4948696885003709</v>
      </c>
      <c r="J18">
        <f>SQRT((Demand!C19-Demand!$C$11)^2+(Demand!B19-Demand!$B$11)^2)*111</f>
        <v>3.7428089999999936</v>
      </c>
      <c r="K18">
        <f>SQRT((Demand!C19-Demand!$C$12)^2+(Demand!B19-Demand!$B$12)^2)*111</f>
        <v>6.381693780750691</v>
      </c>
      <c r="L18">
        <f>SQRT((Demand!C19-Demand!$C$13)^2+(Demand!B19-Demand!$B$13)^2)*111</f>
        <v>10.361086446946262</v>
      </c>
      <c r="M18">
        <f>SQRT((Demand!C19-Demand!$C$14)^2+(Demand!B19-Demand!$B$14)^2)*111</f>
        <v>9.1221836951588848</v>
      </c>
      <c r="N18">
        <f>SQRT((Demand!C19-Demand!$C$15)^2+(Demand!B19-Demand!$B$15)^2)*111</f>
        <v>7.9425620935947503</v>
      </c>
      <c r="O18">
        <f>SQRT((Demand!C19-Demand!$C$16)^2+(Demand!B19-Demand!$B$16)^2)*111</f>
        <v>9.1804235445139906</v>
      </c>
      <c r="P18">
        <f>SQRT((Demand!C19-Demand!$C$17)^2+(Demand!B19-Demand!$B$17)^2)*111</f>
        <v>6.2931266664126628</v>
      </c>
      <c r="Q18">
        <f>SQRT((Demand!C19-Demand!$C$18)^2+(Demand!B19-Demand!$B$18)^2)*111</f>
        <v>8.2512674627330203</v>
      </c>
      <c r="R18">
        <f>SQRT((Demand!C19-Demand!$C$19)^2+(Demand!B19-Demand!$B$19)^2)*111</f>
        <v>0</v>
      </c>
      <c r="S18">
        <f>SQRT((Demand!C19-Demand!$C$20)^2+(Demand!B19-Demand!$B$20)^2)*111</f>
        <v>6.4072354262357516</v>
      </c>
      <c r="T18">
        <f>SQRT((Demand!C19-Demand!$C$21)^2+(Demand!B19-Demand!$B$21)^2)*111</f>
        <v>8.5039153511431493</v>
      </c>
      <c r="U18">
        <f>SQRT((Demand!C19-Demand!$C$22)^2+(Demand!B19-Demand!$B$22)^2)*111</f>
        <v>7.5013682454640644</v>
      </c>
    </row>
    <row r="19" spans="1:21" x14ac:dyDescent="0.35">
      <c r="A19">
        <v>18</v>
      </c>
      <c r="B19">
        <f>SQRT((Demand!C20-Demand!$C$3)^2+(Demand!B20-Demand!$B$3)^2)*111</f>
        <v>14.551884854179278</v>
      </c>
      <c r="C19">
        <f>SQRT((Demand!C20-Demand!$C$4)^2+(Demand!B20-Demand!$B$4)^2)*111</f>
        <v>16.367698730084371</v>
      </c>
      <c r="D19">
        <f>SQRT((Demand!C20-Demand!$C$5)^2+(Demand!B20-Demand!$B$5)^2)*111</f>
        <v>13.457075810879671</v>
      </c>
      <c r="E19">
        <f>SQRT((Demand!C20-Demand!$C$6)^2+(Demand!B20-Demand!$B$6)^2)*111</f>
        <v>12.288894910124659</v>
      </c>
      <c r="F19">
        <f>SQRT((Demand!C20-Demand!$C$7)^2+(Demand!B20-Demand!$B$7)^2)*111</f>
        <v>16.493510764300137</v>
      </c>
      <c r="G19">
        <f>SQRT((Demand!C20-Demand!$C$8)^2+(Demand!B20-Demand!$B$8)^2)*111</f>
        <v>25.073410906323964</v>
      </c>
      <c r="H19">
        <f>SQRT((Demand!C20-Demand!$C$9)^2+(Demand!B20-Demand!$B$9)^2)*111</f>
        <v>13.668742661948052</v>
      </c>
      <c r="I19">
        <f>SQRT((Demand!C20-Demand!$C$10)^2+(Demand!B20-Demand!$B$10)^2)*111</f>
        <v>13.141562718446048</v>
      </c>
      <c r="J19">
        <f>SQRT((Demand!C20-Demand!$C$11)^2+(Demand!B20-Demand!$B$11)^2)*111</f>
        <v>10.036321376070584</v>
      </c>
      <c r="K19">
        <f>SQRT((Demand!C20-Demand!$C$12)^2+(Demand!B20-Demand!$B$12)^2)*111</f>
        <v>12.494184265862408</v>
      </c>
      <c r="L19">
        <f>SQRT((Demand!C20-Demand!$C$13)^2+(Demand!B20-Demand!$B$13)^2)*111</f>
        <v>16.392055063056617</v>
      </c>
      <c r="M19">
        <f>SQRT((Demand!C20-Demand!$C$14)^2+(Demand!B20-Demand!$B$14)^2)*111</f>
        <v>14.917886302006679</v>
      </c>
      <c r="N19">
        <f>SQRT((Demand!C20-Demand!$C$15)^2+(Demand!B20-Demand!$B$15)^2)*111</f>
        <v>13.641434589675885</v>
      </c>
      <c r="O19">
        <f>SQRT((Demand!C20-Demand!$C$16)^2+(Demand!B20-Demand!$B$16)^2)*111</f>
        <v>14.562801848200326</v>
      </c>
      <c r="P19">
        <f>SQRT((Demand!C20-Demand!$C$17)^2+(Demand!B20-Demand!$B$17)^2)*111</f>
        <v>10.474126199589183</v>
      </c>
      <c r="Q19">
        <f>SQRT((Demand!C20-Demand!$C$18)^2+(Demand!B20-Demand!$B$18)^2)*111</f>
        <v>7.8972462786166266</v>
      </c>
      <c r="R19">
        <f>SQRT((Demand!C20-Demand!$C$19)^2+(Demand!B20-Demand!$B$19)^2)*111</f>
        <v>6.4072354262357516</v>
      </c>
      <c r="S19">
        <f>SQRT((Demand!C20-Demand!$C$20)^2+(Demand!B20-Demand!$B$20)^2)*111</f>
        <v>0</v>
      </c>
      <c r="T19">
        <f>SQRT((Demand!C20-Demand!$C$21)^2+(Demand!B20-Demand!$B$21)^2)*111</f>
        <v>12.651281317052639</v>
      </c>
      <c r="U19">
        <f>SQRT((Demand!C20-Demand!$C$22)^2+(Demand!B20-Demand!$B$22)^2)*111</f>
        <v>12.891351388101677</v>
      </c>
    </row>
    <row r="20" spans="1:21" x14ac:dyDescent="0.35">
      <c r="A20">
        <v>19</v>
      </c>
      <c r="B20">
        <f>SQRT((Demand!C21-Demand!$C$3)^2+(Demand!B21-Demand!$B$3)^2)*111</f>
        <v>2.3692557650103274</v>
      </c>
      <c r="C20">
        <f>SQRT((Demand!C21-Demand!$C$4)^2+(Demand!B21-Demand!$B$4)^2)*111</f>
        <v>4.0516599607519881</v>
      </c>
      <c r="D20">
        <f>SQRT((Demand!C21-Demand!$C$5)^2+(Demand!B21-Demand!$B$5)^2)*111</f>
        <v>4.3609969346054562</v>
      </c>
      <c r="E20">
        <f>SQRT((Demand!C21-Demand!$C$6)^2+(Demand!B21-Demand!$B$6)^2)*111</f>
        <v>4.0975320391075893</v>
      </c>
      <c r="F20">
        <f>SQRT((Demand!C21-Demand!$C$7)^2+(Demand!B21-Demand!$B$7)^2)*111</f>
        <v>5.1219291008920322</v>
      </c>
      <c r="G20">
        <f>SQRT((Demand!C21-Demand!$C$8)^2+(Demand!B21-Demand!$B$8)^2)*111</f>
        <v>16.106357757000207</v>
      </c>
      <c r="H20">
        <f>SQRT((Demand!C21-Demand!$C$9)^2+(Demand!B21-Demand!$B$9)^2)*111</f>
        <v>3.6628662533380463</v>
      </c>
      <c r="I20">
        <f>SQRT((Demand!C21-Demand!$C$10)^2+(Demand!B21-Demand!$B$10)^2)*111</f>
        <v>1.3060291689112864</v>
      </c>
      <c r="J20">
        <f>SQRT((Demand!C21-Demand!$C$11)^2+(Demand!B21-Demand!$B$11)^2)*111</f>
        <v>6.5403904344550527</v>
      </c>
      <c r="K20">
        <f>SQRT((Demand!C21-Demand!$C$12)^2+(Demand!B21-Demand!$B$12)^2)*111</f>
        <v>10.568061039118223</v>
      </c>
      <c r="L20">
        <f>SQRT((Demand!C21-Demand!$C$13)^2+(Demand!B21-Demand!$B$13)^2)*111</f>
        <v>6.6241192089660101</v>
      </c>
      <c r="M20">
        <f>SQRT((Demand!C21-Demand!$C$14)^2+(Demand!B21-Demand!$B$14)^2)*111</f>
        <v>4.8724817001775502</v>
      </c>
      <c r="N20">
        <f>SQRT((Demand!C21-Demand!$C$15)^2+(Demand!B21-Demand!$B$15)^2)*111</f>
        <v>4.0518896226040297</v>
      </c>
      <c r="O20">
        <f>SQRT((Demand!C21-Demand!$C$16)^2+(Demand!B21-Demand!$B$16)^2)*111</f>
        <v>3.4595894385288957</v>
      </c>
      <c r="P20">
        <f>SQRT((Demand!C21-Demand!$C$17)^2+(Demand!B21-Demand!$B$17)^2)*111</f>
        <v>2.2764340711646063</v>
      </c>
      <c r="Q20">
        <f>SQRT((Demand!C21-Demand!$C$18)^2+(Demand!B21-Demand!$B$18)^2)*111</f>
        <v>7.2984670602771775</v>
      </c>
      <c r="R20">
        <f>SQRT((Demand!C21-Demand!$C$19)^2+(Demand!B21-Demand!$B$19)^2)*111</f>
        <v>8.5039153511431493</v>
      </c>
      <c r="S20">
        <f>SQRT((Demand!C21-Demand!$C$20)^2+(Demand!B21-Demand!$B$20)^2)*111</f>
        <v>12.651281317052639</v>
      </c>
      <c r="T20">
        <f>SQRT((Demand!C21-Demand!$C$21)^2+(Demand!B21-Demand!$B$21)^2)*111</f>
        <v>0</v>
      </c>
      <c r="U20">
        <f>SQRT((Demand!C21-Demand!$C$22)^2+(Demand!B21-Demand!$B$22)^2)*111</f>
        <v>2.9998710926493546</v>
      </c>
    </row>
    <row r="21" spans="1:21" x14ac:dyDescent="0.35">
      <c r="A21">
        <v>20</v>
      </c>
      <c r="B21">
        <f>SQRT((Demand!C22-Demand!$C$3)^2+(Demand!B22-Demand!$B$3)^2)*111</f>
        <v>2.4375921030758105</v>
      </c>
      <c r="C21">
        <f>SQRT((Demand!C22-Demand!$C$4)^2+(Demand!B22-Demand!$B$4)^2)*111</f>
        <v>6.1009575871456541</v>
      </c>
      <c r="D21">
        <f>SQRT((Demand!C22-Demand!$C$5)^2+(Demand!B22-Demand!$B$5)^2)*111</f>
        <v>1.37615669608203</v>
      </c>
      <c r="E21">
        <f>SQRT((Demand!C22-Demand!$C$6)^2+(Demand!B22-Demand!$B$6)^2)*111</f>
        <v>1.3287419579987705</v>
      </c>
      <c r="F21">
        <f>SQRT((Demand!C22-Demand!$C$7)^2+(Demand!B22-Demand!$B$7)^2)*111</f>
        <v>3.6021624495987923</v>
      </c>
      <c r="G21">
        <f>SQRT((Demand!C22-Demand!$C$8)^2+(Demand!B22-Demand!$B$8)^2)*111</f>
        <v>13.690057417129557</v>
      </c>
      <c r="H21">
        <f>SQRT((Demand!C22-Demand!$C$9)^2+(Demand!B22-Demand!$B$9)^2)*111</f>
        <v>6.6533154295831274</v>
      </c>
      <c r="I21">
        <f>SQRT((Demand!C22-Demand!$C$10)^2+(Demand!B22-Demand!$B$10)^2)*111</f>
        <v>4.2651652995851483</v>
      </c>
      <c r="J21">
        <f>SQRT((Demand!C22-Demand!$C$11)^2+(Demand!B22-Demand!$B$11)^2)*111</f>
        <v>4.4723594391725419</v>
      </c>
      <c r="K21">
        <f>SQRT((Demand!C22-Demand!$C$12)^2+(Demand!B22-Demand!$B$12)^2)*111</f>
        <v>7.9068153557715588</v>
      </c>
      <c r="L21">
        <f>SQRT((Demand!C22-Demand!$C$13)^2+(Demand!B22-Demand!$B$13)^2)*111</f>
        <v>4.1022482367411417</v>
      </c>
      <c r="M21">
        <f>SQRT((Demand!C22-Demand!$C$14)^2+(Demand!B22-Demand!$B$14)^2)*111</f>
        <v>2.3140582645626644</v>
      </c>
      <c r="N21">
        <f>SQRT((Demand!C22-Demand!$C$15)^2+(Demand!B22-Demand!$B$15)^2)*111</f>
        <v>1.1477430970464988</v>
      </c>
      <c r="O21">
        <f>SQRT((Demand!C22-Demand!$C$16)^2+(Demand!B22-Demand!$B$16)^2)*111</f>
        <v>1.6980358321375273</v>
      </c>
      <c r="P21">
        <f>SQRT((Demand!C22-Demand!$C$17)^2+(Demand!B22-Demand!$B$17)^2)*111</f>
        <v>3.1714500142783404</v>
      </c>
      <c r="Q21">
        <f>SQRT((Demand!C22-Demand!$C$18)^2+(Demand!B22-Demand!$B$18)^2)*111</f>
        <v>9.2800831768203018</v>
      </c>
      <c r="R21">
        <f>SQRT((Demand!C22-Demand!$C$19)^2+(Demand!B22-Demand!$B$19)^2)*111</f>
        <v>7.5013682454640644</v>
      </c>
      <c r="S21">
        <f>SQRT((Demand!C22-Demand!$C$20)^2+(Demand!B22-Demand!$B$20)^2)*111</f>
        <v>12.891351388101677</v>
      </c>
      <c r="T21">
        <f>SQRT((Demand!C22-Demand!$C$21)^2+(Demand!B22-Demand!$B$21)^2)*111</f>
        <v>2.9998710926493546</v>
      </c>
      <c r="U21">
        <f>SQRT((Demand!C22-Demand!$C$22)^2+(Demand!B22-Demand!$B$22)^2)*111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Matriks Berpasangan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2024-06-22T13:17:23Z</dcterms:created>
  <dcterms:modified xsi:type="dcterms:W3CDTF">2024-06-23T14:15:24Z</dcterms:modified>
</cp:coreProperties>
</file>